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99.WorkFiles\00.세금계산버 발행\"/>
    </mc:Choice>
  </mc:AlternateContent>
  <xr:revisionPtr revIDLastSave="0" documentId="13_ncr:1_{3BE4566D-79C2-4E89-B9BB-D26A21D3FE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종합 요약 지급여부 0905" sheetId="1" r:id="rId1"/>
    <sheet name="인건비 상세" sheetId="2" r:id="rId2"/>
    <sheet name="법인세 계산" sheetId="3" r:id="rId3"/>
    <sheet name="정리(검토)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D48" i="6"/>
  <c r="B19" i="6"/>
  <c r="D19" i="6" s="1"/>
  <c r="B13" i="6"/>
  <c r="D13" i="6" s="1"/>
  <c r="C12" i="6"/>
  <c r="B12" i="6"/>
  <c r="B11" i="6"/>
  <c r="C9" i="6"/>
  <c r="D9" i="6" s="1"/>
  <c r="C8" i="6"/>
  <c r="D8" i="6" s="1"/>
  <c r="C7" i="6"/>
  <c r="C10" i="6" s="1"/>
  <c r="B10" i="1"/>
  <c r="F24" i="1"/>
  <c r="O10" i="1"/>
  <c r="L10" i="1"/>
  <c r="C10" i="1"/>
  <c r="H10" i="1" s="1"/>
  <c r="N3" i="1"/>
  <c r="N4" i="1"/>
  <c r="N5" i="1"/>
  <c r="D6" i="1"/>
  <c r="D4" i="1"/>
  <c r="D5" i="1"/>
  <c r="D3" i="1"/>
  <c r="D25" i="2"/>
  <c r="B25" i="2"/>
  <c r="B28" i="2" s="1"/>
  <c r="N24" i="2"/>
  <c r="K24" i="2"/>
  <c r="N23" i="2"/>
  <c r="K23" i="2"/>
  <c r="F17" i="2"/>
  <c r="C24" i="2" s="1"/>
  <c r="E24" i="2" s="1"/>
  <c r="B5" i="3" s="1"/>
  <c r="F16" i="2"/>
  <c r="F15" i="2"/>
  <c r="F13" i="2"/>
  <c r="E7" i="2"/>
  <c r="G7" i="2" s="1"/>
  <c r="G8" i="2" s="1"/>
  <c r="C23" i="2" s="1"/>
  <c r="E5" i="2"/>
  <c r="B14" i="6" l="1"/>
  <c r="B49" i="6" s="1"/>
  <c r="D12" i="6"/>
  <c r="F26" i="1"/>
  <c r="T10" i="1"/>
  <c r="R10" i="1" s="1"/>
  <c r="B7" i="6"/>
  <c r="B25" i="6"/>
  <c r="C20" i="1"/>
  <c r="C11" i="6"/>
  <c r="C14" i="6" s="1"/>
  <c r="C49" i="6" s="1"/>
  <c r="C50" i="6" s="1"/>
  <c r="D56" i="6" s="1"/>
  <c r="F10" i="1"/>
  <c r="C25" i="2"/>
  <c r="E23" i="2"/>
  <c r="D5" i="3"/>
  <c r="C5" i="3"/>
  <c r="E5" i="3" s="1"/>
  <c r="G10" i="1" l="1"/>
  <c r="S10" i="1"/>
  <c r="C51" i="6"/>
  <c r="C52" i="6" s="1"/>
  <c r="D49" i="6"/>
  <c r="C15" i="6"/>
  <c r="C16" i="6" s="1"/>
  <c r="C17" i="6" s="1"/>
  <c r="C18" i="6" s="1"/>
  <c r="C20" i="6" s="1"/>
  <c r="C21" i="6" s="1"/>
  <c r="B10" i="6"/>
  <c r="D7" i="6"/>
  <c r="D11" i="6"/>
  <c r="D14" i="6"/>
  <c r="B4" i="3"/>
  <c r="E25" i="2"/>
  <c r="F24" i="2"/>
  <c r="F5" i="3"/>
  <c r="G5" i="3" s="1"/>
  <c r="G24" i="2" s="1"/>
  <c r="C21" i="1" l="1"/>
  <c r="C22" i="1" s="1"/>
  <c r="F27" i="1" s="1"/>
  <c r="B24" i="6"/>
  <c r="D10" i="6"/>
  <c r="B50" i="6"/>
  <c r="B15" i="6"/>
  <c r="D4" i="3"/>
  <c r="D6" i="3" s="1"/>
  <c r="C4" i="3"/>
  <c r="B6" i="3"/>
  <c r="C23" i="1" l="1"/>
  <c r="D15" i="6"/>
  <c r="B16" i="6"/>
  <c r="B51" i="6"/>
  <c r="D51" i="6" s="1"/>
  <c r="D50" i="6"/>
  <c r="E4" i="3"/>
  <c r="C6" i="3"/>
  <c r="B52" i="6" l="1"/>
  <c r="D52" i="6" s="1"/>
  <c r="D16" i="6"/>
  <c r="B17" i="6"/>
  <c r="D17" i="6" s="1"/>
  <c r="B26" i="6" s="1"/>
  <c r="B27" i="6" s="1"/>
  <c r="E6" i="3"/>
  <c r="F23" i="2"/>
  <c r="F25" i="2" s="1"/>
  <c r="B29" i="2" s="1"/>
  <c r="B30" i="2" s="1"/>
  <c r="F4" i="3"/>
  <c r="F6" i="3" s="1"/>
  <c r="B18" i="6" l="1"/>
  <c r="D18" i="6" s="1"/>
  <c r="D55" i="6"/>
  <c r="D57" i="6" s="1"/>
  <c r="D58" i="6" s="1"/>
  <c r="D53" i="6"/>
  <c r="D54" i="6"/>
  <c r="G4" i="3"/>
  <c r="B20" i="6" l="1"/>
  <c r="D20" i="6"/>
  <c r="B21" i="6"/>
  <c r="G6" i="3"/>
  <c r="G23" i="2"/>
  <c r="G25" i="2" s="1"/>
  <c r="D21" i="6" l="1"/>
  <c r="B28" i="6"/>
</calcChain>
</file>

<file path=xl/sharedStrings.xml><?xml version="1.0" encoding="utf-8"?>
<sst xmlns="http://schemas.openxmlformats.org/spreadsheetml/2006/main" count="199" uniqueCount="155">
  <si>
    <t>글라스3</t>
  </si>
  <si>
    <t>글라스4</t>
  </si>
  <si>
    <t>박스1</t>
  </si>
  <si>
    <t>박스4</t>
  </si>
  <si>
    <t>26년</t>
  </si>
  <si>
    <t>27년</t>
  </si>
  <si>
    <t>전환사업</t>
  </si>
  <si>
    <t>인건비</t>
  </si>
  <si>
    <t>잉여금</t>
  </si>
  <si>
    <t>법인세</t>
  </si>
  <si>
    <t>유지보수</t>
  </si>
  <si>
    <t>고도화</t>
  </si>
  <si>
    <t>장비</t>
  </si>
  <si>
    <t>인건비 상세 내역</t>
  </si>
  <si>
    <t>[ 2026년 인건비 ]</t>
  </si>
  <si>
    <t>구분</t>
  </si>
  <si>
    <t>직원A</t>
  </si>
  <si>
    <t>직원B</t>
  </si>
  <si>
    <t>직원C</t>
  </si>
  <si>
    <t>월 합계</t>
  </si>
  <si>
    <t>근무개월</t>
  </si>
  <si>
    <t>금액(만원)</t>
  </si>
  <si>
    <t>월급(만원)</t>
  </si>
  <si>
    <t>근무기간</t>
  </si>
  <si>
    <t>4~9월</t>
  </si>
  <si>
    <t>기본급 합계</t>
  </si>
  <si>
    <t>2026년 인건비 합계</t>
  </si>
  <si>
    <t>[ 2027년 인건비 ]</t>
  </si>
  <si>
    <t>시기</t>
  </si>
  <si>
    <t>내용</t>
  </si>
  <si>
    <t>인원</t>
  </si>
  <si>
    <t>월급/월합</t>
  </si>
  <si>
    <t>개월</t>
  </si>
  <si>
    <t>1월</t>
  </si>
  <si>
    <t>근무(3명)</t>
  </si>
  <si>
    <t>3명</t>
  </si>
  <si>
    <t>성과금(3개월치 추가지급)</t>
  </si>
  <si>
    <t>1900×3</t>
  </si>
  <si>
    <t>2~8월</t>
  </si>
  <si>
    <t>9~12월</t>
  </si>
  <si>
    <t>1명 계속근무 (나머지 계약종료)</t>
  </si>
  <si>
    <t>1명</t>
  </si>
  <si>
    <t>2027년 인건비 합계</t>
  </si>
  <si>
    <t>매출 · 인건비 · 경비 · 법인세 종합 (단위: 억원)</t>
  </si>
  <si>
    <t>매출</t>
  </si>
  <si>
    <t>경비(장비)</t>
  </si>
  <si>
    <t>과세표준</t>
  </si>
  <si>
    <t>총부담(법인세+지방세)</t>
  </si>
  <si>
    <t>2026년</t>
  </si>
  <si>
    <t>-</t>
  </si>
  <si>
    <t>2027년</t>
  </si>
  <si>
    <t>합계</t>
  </si>
  <si>
    <t>전체 매출</t>
  </si>
  <si>
    <t>잉여금(세후)</t>
  </si>
  <si>
    <t>지급</t>
  </si>
  <si>
    <t>법인세 계산 상세 (단위: 만원)</t>
  </si>
  <si>
    <t>2억이하 10%</t>
  </si>
  <si>
    <t>2억초과 20%</t>
  </si>
  <si>
    <t>지방소득세(10%)</t>
  </si>
  <si>
    <t>총 부담</t>
  </si>
  <si>
    <t>※ 전제 조건</t>
  </si>
  <si>
    <t xml:space="preserve"> - 비용은 인건비·장비만 반영 (임대료·재료비·4대보험 회사부담분 등 미반영)</t>
  </si>
  <si>
    <t xml:space="preserve"> - 장비 0.2억은 당해 전액 비용 처리</t>
  </si>
  <si>
    <t xml:space="preserve"> - 세액공제·감면 미반영, 2026년 개정 법인세율 적용 (2억 이하 10% / 2억~200억 20%)</t>
  </si>
  <si>
    <t xml:space="preserve"> - 과세표준 = 매출 - 인건비 - 경비</t>
  </si>
  <si>
    <t>Y</t>
    <phoneticPr fontId="7" type="noConversion"/>
  </si>
  <si>
    <t>JY</t>
    <phoneticPr fontId="7" type="noConversion"/>
  </si>
  <si>
    <t>사업비용</t>
    <phoneticPr fontId="7" type="noConversion"/>
  </si>
  <si>
    <t>부가가치세</t>
    <phoneticPr fontId="7" type="noConversion"/>
  </si>
  <si>
    <t>매출</t>
    <phoneticPr fontId="7" type="noConversion"/>
  </si>
  <si>
    <t>구분</t>
    <phoneticPr fontId="7" type="noConversion"/>
  </si>
  <si>
    <t>잉여금</t>
    <phoneticPr fontId="7" type="noConversion"/>
  </si>
  <si>
    <t>기타사업?</t>
    <phoneticPr fontId="7" type="noConversion"/>
  </si>
  <si>
    <t>기타</t>
    <phoneticPr fontId="7" type="noConversion"/>
  </si>
  <si>
    <t>갤럭시8</t>
    <phoneticPr fontId="7" type="noConversion"/>
  </si>
  <si>
    <t>성과금(26)</t>
    <phoneticPr fontId="7" type="noConversion"/>
  </si>
  <si>
    <t>법인세·잉여금 정리 (단위: 만원)</t>
  </si>
  <si>
    <t>기준: 첫 시트(종합 요약 지급여부 0905)의 값을 수식으로 참조합니다. 첫 시트를 고치면 이 시트도 자동으로 바뀝니다. (작성 2026-10-02)</t>
  </si>
  <si>
    <t>글자색: 파랑 = 직접 입력한 전제값 / 초록 = 첫 시트 참조 / 검정 = 계산식</t>
  </si>
  <si>
    <t>1. 연도별 손익·법인세</t>
  </si>
  <si>
    <t>비고</t>
  </si>
  <si>
    <t>매출 - 전환사업</t>
  </si>
  <si>
    <t>26년: 글라스3·박스1·박스4·글라스4 / 27년: 글라스3·박스4·박스1. 세금계산서 발행 연도와 맞는지 확인 필요</t>
  </si>
  <si>
    <t>매출 - 유지보수</t>
  </si>
  <si>
    <t>26년은 첫 시트에 유지보수 항목이 없어 0으로 입력</t>
  </si>
  <si>
    <t>매출 - 고도화</t>
  </si>
  <si>
    <t>첫 시트 C20(매출 합계)에는 고도화(N10)가 빠져 있음. 값이 생기면 여기에는 반영됨</t>
  </si>
  <si>
    <t>매출 합계</t>
  </si>
  <si>
    <t>성과금(26)·Y행 포함 전체. 전원 계약직, 4대보험 없음 (사용자 확인 2026-10-02)</t>
  </si>
  <si>
    <t>사업비용</t>
  </si>
  <si>
    <t>당해 전액 비용 처리 전제. 27년은 첫 시트에 장비 항목이 없어 0으로 입력</t>
  </si>
  <si>
    <t>비용 합계</t>
  </si>
  <si>
    <t>과세표준 (매출 - 비용)</t>
  </si>
  <si>
    <t>첫 시트 F10·R10과 같은 값</t>
  </si>
  <si>
    <t>지방소득세</t>
  </si>
  <si>
    <t>첫 시트에는 반영되어 있지 않음</t>
  </si>
  <si>
    <t>세금 합계</t>
  </si>
  <si>
    <t>기타 지출 (갤럭시8)</t>
  </si>
  <si>
    <t>과세표준에는 넣지 않음. 법인 명의·업무용이면 비용 처리 가능 → 세무사 확인</t>
  </si>
  <si>
    <t>세후 잉여금</t>
  </si>
  <si>
    <t>과세표준 - 세금 합계 - 기타 지출</t>
  </si>
  <si>
    <t>세후 잉여금 (억원)</t>
  </si>
  <si>
    <t>2. 첫 시트 최종 잉여금(C24)과 차이 나는 이유</t>
  </si>
  <si>
    <t>첫 시트 최종 잉여금 (C24)</t>
  </si>
  <si>
    <t>(-) 지방소득세</t>
  </si>
  <si>
    <t>첫 시트 법인세(F10·R10)에 지방소득세가 없음</t>
  </si>
  <si>
    <t>검산 (0이어야 함)</t>
  </si>
  <si>
    <t>2번 표 결과 - 1번 표 세후 잉여금 합계(D20)</t>
  </si>
  <si>
    <t>3. 세율 전제</t>
  </si>
  <si>
    <t>낮은 세율 구간 상한 (만원)</t>
  </si>
  <si>
    <t>과세표준 2억원. 2026.1.1 이후 개시 사업연도부터 적용 (2025.12 국회 통과)</t>
  </si>
  <si>
    <t>법인세율 - 2억 이하</t>
  </si>
  <si>
    <t>출처: KPMG 2025 Tax Reform, 커넥트 세무회계 (2026-10-02 검색 확인)</t>
  </si>
  <si>
    <t>법인세율 - 2억 초과 200억 이하</t>
  </si>
  <si>
    <t>지방소득세 (법인세 대비)</t>
  </si>
  <si>
    <t>과세표준의 1.0% / 2.0% = 법인세의 10%. 출처: 법무법인 태평양 2026년 개정 지방세법 (2026-10-02 검색 확인)</t>
  </si>
  <si>
    <t>4. 전제·확인 필요 사항</t>
  </si>
  <si>
    <t>① 인건비: 전원 계약직, 4대보험 없음(사용자 확인). 단 근로계약(계약직 근로자)이면 4대보험·퇴직금 대상이고, 3.3% 용역(프리랜서) 계약일 때만 해당 없음 → 계약 형태 확인 필요</t>
  </si>
  <si>
    <t>② 매출 귀속: 입금일이 아니라 세금계산서 발행(용역 제공) 연도 기준. 26년/27년 배분이 실제 발행 일정과 맞는지 확인</t>
  </si>
  <si>
    <t>⑤ 세액감면·공제(중소기업 특별세액감면, 창업·고용 관련)는 미반영. 해당되면 세금이 줄어듦</t>
  </si>
  <si>
    <t>⑥ '인건비 상세'·'법인세 계산' 시트는 매출 배분·인건비·장비 연도가 첫 시트와 달라 이 시트와 숫자가 다름</t>
  </si>
  <si>
    <t>첫 시트 G10·S10(잉여금)과 같은 값. 2억원 초과분에는 20% 세율 적용</t>
  </si>
  <si>
    <t>(-) 첫 시트 잉여금 계산(F22·F23)에서 빠진 인건비</t>
  </si>
  <si>
    <t>이 시트 세후 잉여금</t>
  </si>
  <si>
    <t>③ 장비: PC·주변기기는 당해 전액 비용 가능(법인세법 시행령 제31조), 그 외 장비는 건당 100만원 초과 시 감가상각으로 나눠야 함</t>
  </si>
  <si>
    <t>④ 갤럭시8(기타 지출): 현재 과세표준에 미반영. 법인 명의·업무용이면 비용 처리 가능</t>
  </si>
  <si>
    <t>5. 5:5 점검 (비용 합계 : 세후 잉여금)</t>
  </si>
  <si>
    <t>인건비 조정액 (줄이면 음수)</t>
  </si>
  <si>
    <t>노란 칸에 직접 입력. 예: 27년 700만원 인원 4명을 3개월씩 단축하면 C48에 -8400</t>
  </si>
  <si>
    <t>조정 후 비용 합계</t>
  </si>
  <si>
    <t>인건비 + 사업비용 + 장비 (Y 포함)</t>
  </si>
  <si>
    <t>조정 후 과세표준</t>
  </si>
  <si>
    <t>조정 후 세금 합계</t>
  </si>
  <si>
    <t>법인세 + 지방소득세. 인건비를 줄이면 과세표준이 늘어 세금도 늘어남</t>
  </si>
  <si>
    <t>조정 후 세후 잉여금</t>
  </si>
  <si>
    <t>과세표준 - 세금 합계 - 기타 지출(갤럭시8)</t>
  </si>
  <si>
    <t>비용 비중</t>
  </si>
  <si>
    <t>목표 50%</t>
  </si>
  <si>
    <t>잉여금 비중</t>
  </si>
  <si>
    <t>차이 (비용 - 잉여금)</t>
  </si>
  <si>
    <t>0에 가까울수록 5:5</t>
  </si>
  <si>
    <t>27년 낮은 세율 구간 여유</t>
  </si>
  <si>
    <t>27년 과세표준이 2억원에 닿기까지 남은 금액</t>
  </si>
  <si>
    <t>추가로 줄여야 할 인건비</t>
  </si>
  <si>
    <t>27년에서 줄인다고 가정, 세금 증가분 반영. 비용이 잉여금보다 적으면 0</t>
  </si>
  <si>
    <t>개월수 환산 (B열: 1인 월 단가)</t>
  </si>
  <si>
    <t>D57 ÷ 월 단가. 월 단가 700은 첫 시트 14~17행의 27년 월 금액</t>
  </si>
  <si>
    <t>첫 시트 F22·F23의 범위가 세금 계산용 인건비(C10·O10)와 같으면 0</t>
    <phoneticPr fontId="7" type="noConversion"/>
  </si>
  <si>
    <t>⑦ Y는 비용으로 봄(사용자 확인 2026-10-02). 첫 시트 F23을 =SUM(L13:W17)로 수정해 Y의 27년 급여를 반영함</t>
    <phoneticPr fontId="7" type="noConversion"/>
  </si>
  <si>
    <t>법인지방세</t>
    <phoneticPr fontId="7" type="noConversion"/>
  </si>
  <si>
    <t>법인세 + 비용</t>
    <phoneticPr fontId="7" type="noConversion"/>
  </si>
  <si>
    <t>평균</t>
    <phoneticPr fontId="7" type="noConversion"/>
  </si>
  <si>
    <t>형</t>
    <phoneticPr fontId="7" type="noConversion"/>
  </si>
  <si>
    <t>대표</t>
    <phoneticPr fontId="7" type="noConversion"/>
  </si>
  <si>
    <t>9,10을 먼저 급여처리+장비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</si>
</sst>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0.0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u/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8000"/>
      <name val="맑은 고딕"/>
      <family val="2"/>
      <scheme val="minor"/>
    </font>
    <font>
      <sz val="11"/>
      <color rgb="FF0000FF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1" fontId="1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0" fillId="9" borderId="2" xfId="0" applyFill="1" applyBorder="1"/>
    <xf numFmtId="3" fontId="0" fillId="0" borderId="2" xfId="0" applyNumberFormat="1" applyBorder="1"/>
    <xf numFmtId="0" fontId="0" fillId="12" borderId="2" xfId="0" applyFill="1" applyBorder="1" applyAlignment="1">
      <alignment horizontal="left"/>
    </xf>
    <xf numFmtId="0" fontId="9" fillId="6" borderId="2" xfId="0" applyFont="1" applyFill="1" applyBorder="1" applyAlignment="1">
      <alignment vertical="center"/>
    </xf>
    <xf numFmtId="3" fontId="0" fillId="0" borderId="0" xfId="0" applyNumberFormat="1"/>
    <xf numFmtId="0" fontId="0" fillId="13" borderId="2" xfId="0" applyFill="1" applyBorder="1"/>
    <xf numFmtId="0" fontId="0" fillId="4" borderId="2" xfId="0" applyFill="1" applyBorder="1"/>
    <xf numFmtId="41" fontId="0" fillId="0" borderId="2" xfId="1" applyFont="1" applyBorder="1" applyAlignment="1"/>
    <xf numFmtId="41" fontId="0" fillId="5" borderId="2" xfId="1" applyFont="1" applyFill="1" applyBorder="1" applyAlignment="1"/>
    <xf numFmtId="41" fontId="0" fillId="5" borderId="2" xfId="1" applyFont="1" applyFill="1" applyBorder="1" applyAlignment="1">
      <alignment horizontal="left" vertical="center"/>
    </xf>
    <xf numFmtId="41" fontId="0" fillId="0" borderId="2" xfId="1" applyFont="1" applyBorder="1" applyAlignment="1">
      <alignment horizontal="left" vertical="center"/>
    </xf>
    <xf numFmtId="41" fontId="0" fillId="12" borderId="2" xfId="1" applyFont="1" applyFill="1" applyBorder="1" applyAlignment="1">
      <alignment horizontal="left"/>
    </xf>
    <xf numFmtId="41" fontId="0" fillId="12" borderId="2" xfId="1" applyFont="1" applyFill="1" applyBorder="1" applyAlignment="1">
      <alignment horizontal="left" vertical="center"/>
    </xf>
    <xf numFmtId="41" fontId="5" fillId="9" borderId="2" xfId="1" applyFont="1" applyFill="1" applyBorder="1" applyAlignment="1">
      <alignment horizontal="center" vertical="center"/>
    </xf>
    <xf numFmtId="41" fontId="0" fillId="7" borderId="2" xfId="1" applyFont="1" applyFill="1" applyBorder="1" applyAlignment="1"/>
    <xf numFmtId="41" fontId="0" fillId="13" borderId="2" xfId="1" applyFont="1" applyFill="1" applyBorder="1" applyAlignment="1"/>
    <xf numFmtId="41" fontId="0" fillId="9" borderId="2" xfId="1" applyFont="1" applyFill="1" applyBorder="1" applyAlignment="1"/>
    <xf numFmtId="41" fontId="0" fillId="10" borderId="2" xfId="1" applyFont="1" applyFill="1" applyBorder="1" applyAlignment="1"/>
    <xf numFmtId="41" fontId="0" fillId="4" borderId="2" xfId="1" applyFont="1" applyFill="1" applyBorder="1" applyAlignment="1">
      <alignment vertical="center"/>
    </xf>
    <xf numFmtId="41" fontId="0" fillId="6" borderId="2" xfId="1" applyFont="1" applyFill="1" applyBorder="1" applyAlignment="1"/>
    <xf numFmtId="41" fontId="0" fillId="0" borderId="0" xfId="0" applyNumberFormat="1"/>
    <xf numFmtId="41" fontId="1" fillId="14" borderId="2" xfId="2" applyNumberFormat="1" applyFont="1" applyBorder="1" applyAlignment="1"/>
    <xf numFmtId="41" fontId="0" fillId="0" borderId="2" xfId="0" applyNumberFormat="1" applyBorder="1"/>
    <xf numFmtId="0" fontId="12" fillId="0" borderId="0" xfId="0" applyFont="1"/>
    <xf numFmtId="0" fontId="13" fillId="0" borderId="0" xfId="0" applyFont="1"/>
    <xf numFmtId="9" fontId="15" fillId="0" borderId="0" xfId="0" applyNumberFormat="1" applyFont="1"/>
    <xf numFmtId="0" fontId="12" fillId="15" borderId="6" xfId="0" applyFont="1" applyFill="1" applyBorder="1" applyAlignment="1">
      <alignment horizontal="center"/>
    </xf>
    <xf numFmtId="0" fontId="12" fillId="0" borderId="7" xfId="0" applyFont="1" applyBorder="1"/>
    <xf numFmtId="41" fontId="14" fillId="0" borderId="0" xfId="0" applyNumberFormat="1" applyFont="1"/>
    <xf numFmtId="41" fontId="15" fillId="0" borderId="0" xfId="0" applyNumberFormat="1" applyFont="1"/>
    <xf numFmtId="2" fontId="0" fillId="0" borderId="0" xfId="0" applyNumberFormat="1"/>
    <xf numFmtId="41" fontId="12" fillId="0" borderId="7" xfId="0" applyNumberFormat="1" applyFont="1" applyBorder="1"/>
    <xf numFmtId="41" fontId="15" fillId="5" borderId="0" xfId="0" applyNumberFormat="1" applyFont="1" applyFill="1"/>
    <xf numFmtId="176" fontId="0" fillId="0" borderId="0" xfId="0" applyNumberFormat="1"/>
    <xf numFmtId="177" fontId="0" fillId="0" borderId="0" xfId="0" applyNumberFormat="1"/>
    <xf numFmtId="0" fontId="0" fillId="11" borderId="2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/>
  </cellXfs>
  <cellStyles count="3">
    <cellStyle name="강조색5" xfId="2" builtinId="4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7DF3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31"/>
  <sheetViews>
    <sheetView tabSelected="1" workbookViewId="0">
      <selection activeCell="E6" sqref="E6"/>
    </sheetView>
  </sheetViews>
  <sheetFormatPr defaultRowHeight="16.5"/>
  <cols>
    <col min="1" max="1" width="7.375" customWidth="1"/>
    <col min="2" max="2" width="13.875" bestFit="1" customWidth="1"/>
    <col min="3" max="3" width="10" customWidth="1"/>
    <col min="4" max="4" width="13.375" customWidth="1"/>
    <col min="5" max="6" width="12" customWidth="1"/>
    <col min="7" max="7" width="11" bestFit="1" customWidth="1"/>
    <col min="9" max="9" width="13.625" customWidth="1"/>
    <col min="10" max="10" width="14.5" customWidth="1"/>
    <col min="11" max="11" width="10.375" bestFit="1" customWidth="1"/>
    <col min="13" max="13" width="11.75" bestFit="1" customWidth="1"/>
    <col min="14" max="14" width="11" bestFit="1" customWidth="1"/>
    <col min="15" max="15" width="12.5" customWidth="1"/>
    <col min="17" max="17" width="10.375" customWidth="1"/>
    <col min="19" max="19" width="11" bestFit="1" customWidth="1"/>
  </cols>
  <sheetData>
    <row r="2" spans="1:23">
      <c r="B2" s="7" t="s">
        <v>70</v>
      </c>
      <c r="C2" s="7" t="s">
        <v>69</v>
      </c>
      <c r="D2" s="7" t="s">
        <v>68</v>
      </c>
      <c r="L2" s="7" t="s">
        <v>70</v>
      </c>
      <c r="M2" s="7" t="s">
        <v>69</v>
      </c>
      <c r="N2" s="7" t="s">
        <v>68</v>
      </c>
    </row>
    <row r="3" spans="1:23">
      <c r="B3" s="12" t="s">
        <v>0</v>
      </c>
      <c r="C3" s="26">
        <v>10800</v>
      </c>
      <c r="D3" s="25">
        <f>C3*0.1</f>
        <v>1080</v>
      </c>
      <c r="L3" s="19" t="s">
        <v>0</v>
      </c>
      <c r="M3" s="29">
        <v>10800</v>
      </c>
      <c r="N3" s="24">
        <f t="shared" ref="N3:N5" si="0">M3*0.1</f>
        <v>1080</v>
      </c>
    </row>
    <row r="4" spans="1:23">
      <c r="B4" s="12" t="s">
        <v>2</v>
      </c>
      <c r="C4" s="26">
        <v>4300</v>
      </c>
      <c r="D4" s="25">
        <f t="shared" ref="D4:D5" si="1">C4*0.1</f>
        <v>430</v>
      </c>
      <c r="L4" s="19" t="s">
        <v>3</v>
      </c>
      <c r="M4" s="29">
        <v>17200</v>
      </c>
      <c r="N4" s="24">
        <f t="shared" si="0"/>
        <v>1720</v>
      </c>
    </row>
    <row r="5" spans="1:23">
      <c r="B5" s="7" t="s">
        <v>3</v>
      </c>
      <c r="C5" s="27">
        <v>17200</v>
      </c>
      <c r="D5" s="24">
        <f t="shared" si="1"/>
        <v>1720</v>
      </c>
      <c r="E5" t="s">
        <v>154</v>
      </c>
      <c r="L5" s="19" t="s">
        <v>2</v>
      </c>
      <c r="M5" s="29">
        <v>4300</v>
      </c>
      <c r="N5" s="24">
        <f t="shared" si="0"/>
        <v>430</v>
      </c>
    </row>
    <row r="6" spans="1:23">
      <c r="B6" s="19" t="s">
        <v>1</v>
      </c>
      <c r="C6" s="28">
        <v>14400</v>
      </c>
      <c r="D6" s="24">
        <f>C6*0.1</f>
        <v>1440</v>
      </c>
    </row>
    <row r="8" spans="1:23">
      <c r="B8" s="59" t="s">
        <v>4</v>
      </c>
      <c r="C8" s="60"/>
      <c r="D8" s="60"/>
      <c r="E8" s="60"/>
      <c r="F8" s="60"/>
      <c r="G8" s="60"/>
      <c r="H8" s="60"/>
      <c r="I8" s="60"/>
      <c r="J8" s="60"/>
      <c r="K8" s="61"/>
      <c r="L8" s="52" t="s">
        <v>5</v>
      </c>
      <c r="M8" s="53"/>
      <c r="N8" s="53"/>
      <c r="O8" s="53"/>
      <c r="P8" s="53"/>
      <c r="Q8" s="53"/>
      <c r="R8" s="53"/>
      <c r="S8" s="53"/>
      <c r="T8" s="53"/>
      <c r="U8" s="53"/>
      <c r="V8" s="53"/>
      <c r="W8" s="54"/>
    </row>
    <row r="9" spans="1:23">
      <c r="B9" s="17" t="s">
        <v>6</v>
      </c>
      <c r="C9" s="7" t="s">
        <v>7</v>
      </c>
      <c r="D9" s="7" t="s">
        <v>67</v>
      </c>
      <c r="E9" s="7" t="s">
        <v>12</v>
      </c>
      <c r="F9" s="7" t="s">
        <v>9</v>
      </c>
      <c r="G9" s="7" t="s">
        <v>149</v>
      </c>
      <c r="H9" s="7" t="s">
        <v>8</v>
      </c>
      <c r="I9" s="7"/>
      <c r="J9" s="7"/>
      <c r="K9" s="7"/>
      <c r="L9" s="17" t="s">
        <v>6</v>
      </c>
      <c r="M9" s="17" t="s">
        <v>10</v>
      </c>
      <c r="N9" s="7" t="s">
        <v>11</v>
      </c>
      <c r="O9" s="7" t="s">
        <v>7</v>
      </c>
      <c r="P9" s="7" t="s">
        <v>72</v>
      </c>
      <c r="Q9" s="7" t="s">
        <v>67</v>
      </c>
      <c r="R9" s="7" t="s">
        <v>9</v>
      </c>
      <c r="S9" s="7" t="s">
        <v>149</v>
      </c>
      <c r="T9" s="7" t="s">
        <v>8</v>
      </c>
      <c r="U9" s="7"/>
      <c r="V9" s="7"/>
      <c r="W9" s="7"/>
    </row>
    <row r="10" spans="1:23">
      <c r="B10" s="30">
        <f>C3+C4+C5+C6</f>
        <v>46700</v>
      </c>
      <c r="C10" s="31">
        <f>SUM(B13:K17)</f>
        <v>23100</v>
      </c>
      <c r="D10" s="32">
        <v>400</v>
      </c>
      <c r="E10" s="34">
        <v>3000</v>
      </c>
      <c r="F10" s="32">
        <f>MIN(H10,20000)*10%+MAX(H10-20000,0)*20%</f>
        <v>2040</v>
      </c>
      <c r="G10" s="32">
        <f>F10*0.1</f>
        <v>204</v>
      </c>
      <c r="H10" s="24">
        <f>B10-C10-D10-E10</f>
        <v>20200</v>
      </c>
      <c r="I10" s="24"/>
      <c r="J10" s="24"/>
      <c r="K10" s="24"/>
      <c r="L10" s="30">
        <f>M3+M4+M5</f>
        <v>32300</v>
      </c>
      <c r="M10" s="33">
        <v>7700</v>
      </c>
      <c r="N10" s="24"/>
      <c r="O10" s="31">
        <f>SUM(L13:W17)</f>
        <v>21900</v>
      </c>
      <c r="P10" s="7"/>
      <c r="Q10" s="32">
        <v>200</v>
      </c>
      <c r="R10" s="32">
        <f>MIN(T10,20000)*10%+MAX(T10-20000,0)*20%</f>
        <v>1790</v>
      </c>
      <c r="S10" s="32">
        <f>R10*0.1</f>
        <v>179</v>
      </c>
      <c r="T10" s="24">
        <f>L10+M10+N10-O10-Q10</f>
        <v>17900</v>
      </c>
      <c r="U10" s="7"/>
      <c r="V10" s="7"/>
      <c r="W10" s="7"/>
    </row>
    <row r="11" spans="1:23">
      <c r="B11" s="56">
        <v>26</v>
      </c>
      <c r="C11" s="57"/>
      <c r="D11" s="57"/>
      <c r="E11" s="57"/>
      <c r="F11" s="57"/>
      <c r="G11" s="57"/>
      <c r="H11" s="57"/>
      <c r="I11" s="57"/>
      <c r="J11" s="57"/>
      <c r="K11" s="58"/>
      <c r="L11" s="55">
        <v>27</v>
      </c>
      <c r="M11" s="53"/>
      <c r="N11" s="53"/>
      <c r="O11" s="53"/>
      <c r="P11" s="53"/>
      <c r="Q11" s="53"/>
      <c r="R11" s="53"/>
      <c r="S11" s="54"/>
      <c r="T11" s="7"/>
      <c r="U11" s="7"/>
      <c r="V11" s="7"/>
      <c r="W11" s="7"/>
    </row>
    <row r="12" spans="1:23">
      <c r="B12" s="8">
        <v>4</v>
      </c>
      <c r="C12" s="8">
        <v>5</v>
      </c>
      <c r="D12" s="8">
        <v>6</v>
      </c>
      <c r="E12" s="8">
        <v>7</v>
      </c>
      <c r="F12" s="8">
        <v>8</v>
      </c>
      <c r="G12" s="8">
        <v>9</v>
      </c>
      <c r="H12" s="8">
        <v>10</v>
      </c>
      <c r="I12" s="15">
        <v>11</v>
      </c>
      <c r="J12" s="15">
        <v>12</v>
      </c>
      <c r="K12" s="15" t="s">
        <v>75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8">
        <v>6</v>
      </c>
      <c r="R12" s="8">
        <v>7</v>
      </c>
      <c r="S12" s="8">
        <v>8</v>
      </c>
      <c r="T12" s="8">
        <v>9</v>
      </c>
      <c r="U12" s="8">
        <v>10</v>
      </c>
      <c r="V12" s="8">
        <v>11</v>
      </c>
      <c r="W12" s="8">
        <v>12</v>
      </c>
    </row>
    <row r="13" spans="1:23">
      <c r="A13" t="s">
        <v>65</v>
      </c>
      <c r="B13" s="20">
        <v>600</v>
      </c>
      <c r="C13" s="20">
        <v>600</v>
      </c>
      <c r="D13" s="20">
        <v>600</v>
      </c>
      <c r="E13" s="20">
        <v>600</v>
      </c>
      <c r="F13" s="20">
        <v>600</v>
      </c>
      <c r="G13" s="20">
        <v>600</v>
      </c>
      <c r="H13" s="13">
        <v>600</v>
      </c>
      <c r="I13" s="16">
        <v>600</v>
      </c>
      <c r="J13" s="16">
        <v>600</v>
      </c>
      <c r="K13" s="16">
        <v>800</v>
      </c>
      <c r="L13" s="8">
        <v>600</v>
      </c>
      <c r="M13" s="8">
        <v>600</v>
      </c>
      <c r="N13" s="8">
        <v>600</v>
      </c>
      <c r="O13" s="8">
        <v>600</v>
      </c>
      <c r="P13" s="8">
        <v>600</v>
      </c>
      <c r="Q13" s="8">
        <v>600</v>
      </c>
      <c r="R13" s="8">
        <v>600</v>
      </c>
      <c r="S13" s="8">
        <v>600</v>
      </c>
      <c r="T13" s="8">
        <v>600</v>
      </c>
      <c r="U13" s="8">
        <v>600</v>
      </c>
      <c r="V13" s="8">
        <v>600</v>
      </c>
      <c r="W13" s="8">
        <v>600</v>
      </c>
    </row>
    <row r="14" spans="1:23">
      <c r="B14" s="20">
        <v>700</v>
      </c>
      <c r="C14" s="20">
        <v>700</v>
      </c>
      <c r="D14" s="20">
        <v>700</v>
      </c>
      <c r="E14" s="20">
        <v>700</v>
      </c>
      <c r="F14" s="20">
        <v>700</v>
      </c>
      <c r="G14" s="13">
        <v>700</v>
      </c>
      <c r="H14" s="13">
        <v>700</v>
      </c>
      <c r="I14" s="16">
        <v>700</v>
      </c>
      <c r="J14" s="16">
        <v>700</v>
      </c>
      <c r="K14" s="16">
        <v>800</v>
      </c>
      <c r="L14" s="14">
        <v>700</v>
      </c>
      <c r="M14" s="14">
        <v>700</v>
      </c>
      <c r="N14" s="14">
        <v>700</v>
      </c>
      <c r="O14" s="14">
        <v>700</v>
      </c>
      <c r="P14" s="14">
        <v>700</v>
      </c>
      <c r="Q14" s="14">
        <v>700</v>
      </c>
      <c r="R14" s="14"/>
      <c r="S14" s="14"/>
      <c r="T14" s="7"/>
      <c r="U14" s="7"/>
      <c r="V14" s="7"/>
      <c r="W14" s="7"/>
    </row>
    <row r="15" spans="1:23">
      <c r="B15" s="20">
        <v>600</v>
      </c>
      <c r="C15" s="20">
        <v>600</v>
      </c>
      <c r="D15" s="20">
        <v>600</v>
      </c>
      <c r="E15" s="20">
        <v>600</v>
      </c>
      <c r="F15" s="20">
        <v>600</v>
      </c>
      <c r="G15" s="13">
        <v>600</v>
      </c>
      <c r="H15" s="13">
        <v>600</v>
      </c>
      <c r="I15" s="16">
        <v>600</v>
      </c>
      <c r="J15" s="16">
        <v>600</v>
      </c>
      <c r="K15" s="16">
        <v>800</v>
      </c>
      <c r="L15" s="14">
        <v>700</v>
      </c>
      <c r="M15" s="14">
        <v>700</v>
      </c>
      <c r="N15" s="14">
        <v>700</v>
      </c>
      <c r="O15" s="14">
        <v>700</v>
      </c>
      <c r="P15" s="14">
        <v>700</v>
      </c>
      <c r="Q15" s="14"/>
      <c r="R15" s="14"/>
      <c r="S15" s="14"/>
      <c r="T15" s="7"/>
      <c r="U15" s="7"/>
      <c r="V15" s="7"/>
      <c r="W15" s="7"/>
    </row>
    <row r="16" spans="1:23">
      <c r="A16" t="s">
        <v>66</v>
      </c>
      <c r="B16" s="7"/>
      <c r="C16" s="7"/>
      <c r="D16" s="7"/>
      <c r="E16" s="7"/>
      <c r="F16" s="7"/>
      <c r="G16" s="13">
        <v>700</v>
      </c>
      <c r="H16" s="13">
        <v>700</v>
      </c>
      <c r="I16" s="16">
        <v>700</v>
      </c>
      <c r="J16" s="16">
        <v>700</v>
      </c>
      <c r="K16" s="16">
        <v>800</v>
      </c>
      <c r="L16" s="14">
        <v>700</v>
      </c>
      <c r="M16" s="14">
        <v>700</v>
      </c>
      <c r="N16" s="14">
        <v>700</v>
      </c>
      <c r="O16" s="14">
        <v>700</v>
      </c>
      <c r="P16" s="14">
        <v>700</v>
      </c>
      <c r="Q16" s="14"/>
      <c r="R16" s="14"/>
      <c r="S16" s="14"/>
      <c r="T16" s="7"/>
      <c r="U16" s="7"/>
      <c r="V16" s="7"/>
      <c r="W16" s="7"/>
    </row>
    <row r="17" spans="2:23">
      <c r="B17" s="8"/>
      <c r="C17" s="7"/>
      <c r="D17" s="7"/>
      <c r="E17" s="7"/>
      <c r="F17" s="7"/>
      <c r="G17" s="13"/>
      <c r="H17" s="13"/>
      <c r="I17" s="16"/>
      <c r="J17" s="16"/>
      <c r="K17" s="16"/>
      <c r="L17" s="14">
        <v>700</v>
      </c>
      <c r="M17" s="14">
        <v>700</v>
      </c>
      <c r="N17" s="14">
        <v>700</v>
      </c>
      <c r="O17" s="14">
        <v>700</v>
      </c>
      <c r="P17" s="14">
        <v>700</v>
      </c>
      <c r="Q17" s="14"/>
      <c r="R17" s="14"/>
      <c r="S17" s="14"/>
      <c r="T17" s="7"/>
      <c r="U17" s="7"/>
      <c r="V17" s="7"/>
      <c r="W17" s="7"/>
    </row>
    <row r="20" spans="2:23">
      <c r="B20" s="17" t="s">
        <v>69</v>
      </c>
      <c r="C20" s="33">
        <f>B10+L10+M10</f>
        <v>86700</v>
      </c>
      <c r="D20" s="7"/>
      <c r="E20" s="7"/>
      <c r="F20" s="7"/>
    </row>
    <row r="21" spans="2:23">
      <c r="B21" s="22" t="s">
        <v>150</v>
      </c>
      <c r="C21" s="32">
        <f>D10+F10+Q10+R10+G10+S10</f>
        <v>4813</v>
      </c>
      <c r="D21" s="18"/>
      <c r="E21" s="7"/>
      <c r="F21" s="7"/>
    </row>
    <row r="22" spans="2:23">
      <c r="B22" s="23" t="s">
        <v>71</v>
      </c>
      <c r="C22" s="35">
        <f>C20-C21</f>
        <v>81887</v>
      </c>
      <c r="D22" s="7"/>
      <c r="E22" s="7" t="s">
        <v>4</v>
      </c>
      <c r="F22" s="36">
        <f>SUM(B13:K17)</f>
        <v>23100</v>
      </c>
    </row>
    <row r="23" spans="2:23">
      <c r="B23" s="7" t="s">
        <v>151</v>
      </c>
      <c r="C23" s="24">
        <f>C22/2</f>
        <v>40943.5</v>
      </c>
      <c r="D23" s="7"/>
      <c r="E23" s="7" t="s">
        <v>5</v>
      </c>
      <c r="F23" s="31">
        <f>SUM(L14:W17)</f>
        <v>14700</v>
      </c>
    </row>
    <row r="24" spans="2:23">
      <c r="B24" s="7"/>
      <c r="C24" s="39"/>
      <c r="D24" s="7"/>
      <c r="E24" s="7" t="s">
        <v>12</v>
      </c>
      <c r="F24" s="34">
        <f>E10</f>
        <v>3000</v>
      </c>
    </row>
    <row r="25" spans="2:23">
      <c r="B25" s="7"/>
      <c r="C25" s="7"/>
      <c r="D25" s="7"/>
      <c r="E25" s="7" t="s">
        <v>73</v>
      </c>
      <c r="F25" s="38">
        <v>244</v>
      </c>
      <c r="G25" t="s">
        <v>74</v>
      </c>
    </row>
    <row r="26" spans="2:23">
      <c r="B26" s="7"/>
      <c r="C26" s="7"/>
      <c r="D26" s="7"/>
      <c r="E26" s="7" t="s">
        <v>152</v>
      </c>
      <c r="F26" s="24">
        <f>F22+F23+F24+F25</f>
        <v>41044</v>
      </c>
    </row>
    <row r="27" spans="2:23">
      <c r="C27" s="21"/>
      <c r="E27" s="63" t="s">
        <v>153</v>
      </c>
      <c r="F27" s="39">
        <f>C22-F26</f>
        <v>40843</v>
      </c>
    </row>
    <row r="29" spans="2:23">
      <c r="I29" s="37"/>
    </row>
    <row r="31" spans="2:23">
      <c r="I31" s="37"/>
    </row>
  </sheetData>
  <mergeCells count="4">
    <mergeCell ref="L8:W8"/>
    <mergeCell ref="L11:S11"/>
    <mergeCell ref="B11:K11"/>
    <mergeCell ref="B8:K8"/>
  </mergeCells>
  <phoneticPr fontId="7" type="noConversion"/>
  <pageMargins left="0.75" right="0.75" top="1" bottom="1" header="0.5" footer="0.5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"/>
  <sheetViews>
    <sheetView topLeftCell="A6" workbookViewId="0">
      <selection activeCell="K23" sqref="K23"/>
    </sheetView>
  </sheetViews>
  <sheetFormatPr defaultRowHeight="16.5"/>
  <cols>
    <col min="1" max="1" width="16" customWidth="1"/>
    <col min="2" max="2" width="26" customWidth="1"/>
    <col min="3" max="3" width="10" customWidth="1"/>
    <col min="4" max="4" width="12" customWidth="1"/>
    <col min="5" max="5" width="10" customWidth="1"/>
    <col min="6" max="7" width="12" customWidth="1"/>
  </cols>
  <sheetData>
    <row r="1" spans="1:7" ht="20.25" customHeight="1">
      <c r="A1" s="1" t="s">
        <v>13</v>
      </c>
    </row>
    <row r="3" spans="1:7">
      <c r="A3" s="2" t="s">
        <v>14</v>
      </c>
    </row>
    <row r="4" spans="1:7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>
      <c r="A5" s="4" t="s">
        <v>22</v>
      </c>
      <c r="B5" s="4">
        <v>600</v>
      </c>
      <c r="C5" s="4">
        <v>600</v>
      </c>
      <c r="D5" s="4">
        <v>700</v>
      </c>
      <c r="E5" s="4">
        <f>SUM(B5:D5)</f>
        <v>1900</v>
      </c>
      <c r="F5" s="4"/>
      <c r="G5" s="4"/>
    </row>
    <row r="6" spans="1:7">
      <c r="A6" s="4" t="s">
        <v>23</v>
      </c>
      <c r="B6" s="4" t="s">
        <v>24</v>
      </c>
      <c r="C6" s="4" t="s">
        <v>24</v>
      </c>
      <c r="D6" s="4" t="s">
        <v>24</v>
      </c>
      <c r="E6" s="4"/>
      <c r="F6" s="4">
        <v>6</v>
      </c>
      <c r="G6" s="4"/>
    </row>
    <row r="7" spans="1:7">
      <c r="A7" s="5" t="s">
        <v>25</v>
      </c>
      <c r="B7" s="5"/>
      <c r="C7" s="5"/>
      <c r="D7" s="5"/>
      <c r="E7" s="5">
        <f>E5</f>
        <v>1900</v>
      </c>
      <c r="F7" s="5">
        <v>6</v>
      </c>
      <c r="G7" s="5">
        <f>E7*F7</f>
        <v>11400</v>
      </c>
    </row>
    <row r="8" spans="1:7">
      <c r="A8" s="5" t="s">
        <v>26</v>
      </c>
      <c r="B8" s="5"/>
      <c r="C8" s="5"/>
      <c r="D8" s="5"/>
      <c r="E8" s="5"/>
      <c r="F8" s="5"/>
      <c r="G8" s="5">
        <f>G7</f>
        <v>11400</v>
      </c>
    </row>
    <row r="11" spans="1:7">
      <c r="A11" s="2" t="s">
        <v>27</v>
      </c>
    </row>
    <row r="12" spans="1:7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21</v>
      </c>
    </row>
    <row r="13" spans="1:7">
      <c r="A13" s="4" t="s">
        <v>33</v>
      </c>
      <c r="B13" s="4" t="s">
        <v>34</v>
      </c>
      <c r="C13" s="4" t="s">
        <v>35</v>
      </c>
      <c r="D13" s="4">
        <v>1900</v>
      </c>
      <c r="E13" s="4">
        <v>1</v>
      </c>
      <c r="F13" s="4">
        <f>D13*E13</f>
        <v>1900</v>
      </c>
    </row>
    <row r="14" spans="1:7">
      <c r="A14" s="4" t="s">
        <v>33</v>
      </c>
      <c r="B14" s="4" t="s">
        <v>36</v>
      </c>
      <c r="C14" s="4" t="s">
        <v>35</v>
      </c>
      <c r="D14" s="4" t="s">
        <v>37</v>
      </c>
      <c r="E14" s="4"/>
      <c r="F14" s="4">
        <v>5700</v>
      </c>
    </row>
    <row r="15" spans="1:7">
      <c r="A15" s="4" t="s">
        <v>38</v>
      </c>
      <c r="B15" s="4" t="s">
        <v>34</v>
      </c>
      <c r="C15" s="4" t="s">
        <v>35</v>
      </c>
      <c r="D15" s="4">
        <v>1900</v>
      </c>
      <c r="E15" s="4">
        <v>7</v>
      </c>
      <c r="F15" s="4">
        <f>D15*E15</f>
        <v>13300</v>
      </c>
    </row>
    <row r="16" spans="1:7">
      <c r="A16" s="4" t="s">
        <v>39</v>
      </c>
      <c r="B16" s="4" t="s">
        <v>40</v>
      </c>
      <c r="C16" s="4" t="s">
        <v>41</v>
      </c>
      <c r="D16" s="4">
        <v>600</v>
      </c>
      <c r="E16" s="4">
        <v>4</v>
      </c>
      <c r="F16" s="4">
        <f>D16*E16</f>
        <v>2400</v>
      </c>
    </row>
    <row r="17" spans="1:14">
      <c r="A17" s="5" t="s">
        <v>42</v>
      </c>
      <c r="B17" s="5"/>
      <c r="C17" s="5"/>
      <c r="D17" s="5"/>
      <c r="E17" s="5"/>
      <c r="F17" s="5">
        <f>SUM(F13:F16)</f>
        <v>23300</v>
      </c>
    </row>
    <row r="20" spans="1:14" ht="20.25" customHeight="1">
      <c r="A20" s="1" t="s">
        <v>43</v>
      </c>
    </row>
    <row r="22" spans="1:14">
      <c r="A22" s="3" t="s">
        <v>15</v>
      </c>
      <c r="B22" s="3" t="s">
        <v>44</v>
      </c>
      <c r="C22" s="3" t="s">
        <v>7</v>
      </c>
      <c r="D22" s="3" t="s">
        <v>45</v>
      </c>
      <c r="E22" s="3" t="s">
        <v>46</v>
      </c>
      <c r="F22" s="3" t="s">
        <v>9</v>
      </c>
      <c r="G22" t="s">
        <v>47</v>
      </c>
      <c r="I22" s="62">
        <v>26</v>
      </c>
      <c r="J22" s="53"/>
      <c r="K22" s="54"/>
      <c r="L22" s="62">
        <v>27</v>
      </c>
      <c r="M22" s="53"/>
      <c r="N22" s="54"/>
    </row>
    <row r="23" spans="1:14">
      <c r="A23" s="4" t="s">
        <v>48</v>
      </c>
      <c r="B23" s="4">
        <v>3.23</v>
      </c>
      <c r="C23" s="4">
        <f>G8/10000</f>
        <v>1.1399999999999999</v>
      </c>
      <c r="D23" s="4" t="s">
        <v>49</v>
      </c>
      <c r="E23" s="4">
        <f>B23-C23</f>
        <v>2.09</v>
      </c>
      <c r="F23" s="4">
        <f>'법인세 계산'!E4/10000</f>
        <v>0.218</v>
      </c>
      <c r="G23">
        <f>'법인세 계산'!G4/10000</f>
        <v>0.23980000000000001</v>
      </c>
      <c r="I23" s="9">
        <v>0.3</v>
      </c>
      <c r="J23" s="9">
        <v>3.6</v>
      </c>
      <c r="K23" s="11">
        <f>I23*J23</f>
        <v>1.08</v>
      </c>
      <c r="L23" s="9">
        <v>0.7</v>
      </c>
      <c r="M23" s="9">
        <v>3.6</v>
      </c>
      <c r="N23" s="11">
        <f>L23*M23</f>
        <v>2.52</v>
      </c>
    </row>
    <row r="24" spans="1:14">
      <c r="A24" s="4" t="s">
        <v>50</v>
      </c>
      <c r="B24" s="4">
        <v>4.67</v>
      </c>
      <c r="C24" s="4">
        <f>F17/10000</f>
        <v>2.33</v>
      </c>
      <c r="D24" s="4">
        <v>0.2</v>
      </c>
      <c r="E24" s="4">
        <f>B24-C24-D24</f>
        <v>2.1399999999999997</v>
      </c>
      <c r="F24" s="4">
        <f>'법인세 계산'!E5/10000</f>
        <v>0.2279999999999999</v>
      </c>
      <c r="G24">
        <f>'법인세 계산'!G5/10000</f>
        <v>0.25079999999999991</v>
      </c>
      <c r="I24" s="10">
        <v>0.5</v>
      </c>
      <c r="J24" s="10">
        <v>4.3</v>
      </c>
      <c r="K24" s="11">
        <f>I24*J24</f>
        <v>2.15</v>
      </c>
      <c r="L24" s="10">
        <v>0.5</v>
      </c>
      <c r="M24" s="10">
        <v>4.3</v>
      </c>
      <c r="N24" s="11">
        <f>L24*M24</f>
        <v>2.15</v>
      </c>
    </row>
    <row r="25" spans="1:14">
      <c r="A25" s="5" t="s">
        <v>51</v>
      </c>
      <c r="B25" s="5">
        <f>B23+B24</f>
        <v>7.9</v>
      </c>
      <c r="C25" s="5">
        <f>C23+C24</f>
        <v>3.4699999999999998</v>
      </c>
      <c r="D25" s="5">
        <f>D24</f>
        <v>0.2</v>
      </c>
      <c r="E25" s="5">
        <f>E23+E24</f>
        <v>4.2299999999999995</v>
      </c>
      <c r="F25" s="5">
        <f>F23+F24</f>
        <v>0.4459999999999999</v>
      </c>
      <c r="G25">
        <f>G23+G24</f>
        <v>0.49059999999999993</v>
      </c>
    </row>
    <row r="28" spans="1:14">
      <c r="A28" s="7" t="s">
        <v>52</v>
      </c>
      <c r="B28" s="7">
        <f>B25</f>
        <v>7.9</v>
      </c>
    </row>
    <row r="29" spans="1:14">
      <c r="A29" s="7" t="s">
        <v>53</v>
      </c>
      <c r="B29" s="7">
        <f>B28-F25*1.1</f>
        <v>7.4094000000000007</v>
      </c>
    </row>
    <row r="30" spans="1:14">
      <c r="A30" s="12" t="s">
        <v>54</v>
      </c>
      <c r="B30" s="12">
        <f>B29/2</f>
        <v>3.7047000000000003</v>
      </c>
    </row>
  </sheetData>
  <mergeCells count="2">
    <mergeCell ref="I22:K22"/>
    <mergeCell ref="L22:N22"/>
  </mergeCells>
  <phoneticPr fontId="7" type="noConversion"/>
  <pageMargins left="0.75" right="0.75" top="1" bottom="1" header="0.5" footer="0.5"/>
  <pageSetup paperSize="9" scale="8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F21" sqref="F21"/>
    </sheetView>
  </sheetViews>
  <sheetFormatPr defaultRowHeight="16.5"/>
  <cols>
    <col min="1" max="5" width="12" customWidth="1"/>
    <col min="6" max="6" width="16" customWidth="1"/>
    <col min="7" max="7" width="12" customWidth="1"/>
  </cols>
  <sheetData>
    <row r="1" spans="1:7" ht="20.25" customHeight="1">
      <c r="A1" s="1" t="s">
        <v>55</v>
      </c>
    </row>
    <row r="3" spans="1:7">
      <c r="A3" s="3" t="s">
        <v>15</v>
      </c>
      <c r="B3" s="3" t="s">
        <v>46</v>
      </c>
      <c r="C3" s="3" t="s">
        <v>56</v>
      </c>
      <c r="D3" s="3" t="s">
        <v>57</v>
      </c>
      <c r="E3" s="3" t="s">
        <v>9</v>
      </c>
      <c r="F3" s="3" t="s">
        <v>58</v>
      </c>
      <c r="G3" s="3" t="s">
        <v>59</v>
      </c>
    </row>
    <row r="4" spans="1:7">
      <c r="A4" s="4" t="s">
        <v>48</v>
      </c>
      <c r="B4" s="4">
        <f>'인건비 상세'!E23*10000</f>
        <v>20900</v>
      </c>
      <c r="C4" s="4">
        <f>MIN(B4,20000)*10%</f>
        <v>2000</v>
      </c>
      <c r="D4" s="4">
        <f>MAX(B4-20000,0)*20%</f>
        <v>180</v>
      </c>
      <c r="E4" s="4">
        <f>C4+D4</f>
        <v>2180</v>
      </c>
      <c r="F4" s="4">
        <f>E4*10%</f>
        <v>218</v>
      </c>
      <c r="G4" s="4">
        <f>E4+F4</f>
        <v>2398</v>
      </c>
    </row>
    <row r="5" spans="1:7">
      <c r="A5" s="4" t="s">
        <v>50</v>
      </c>
      <c r="B5" s="4">
        <f>'인건비 상세'!E24*10000</f>
        <v>21399.999999999996</v>
      </c>
      <c r="C5" s="4">
        <f>MIN(B5,20000)*10%</f>
        <v>2000</v>
      </c>
      <c r="D5" s="4">
        <f>MAX(B5-20000,0)*20%</f>
        <v>279.99999999999926</v>
      </c>
      <c r="E5" s="4">
        <f>C5+D5</f>
        <v>2279.9999999999991</v>
      </c>
      <c r="F5" s="4">
        <f>E5*10%</f>
        <v>227.99999999999991</v>
      </c>
      <c r="G5" s="4">
        <f>E5+F5</f>
        <v>2507.9999999999991</v>
      </c>
    </row>
    <row r="6" spans="1:7">
      <c r="A6" s="5" t="s">
        <v>51</v>
      </c>
      <c r="B6" s="5">
        <f t="shared" ref="B6:G6" si="0">B4+B5</f>
        <v>42300</v>
      </c>
      <c r="C6" s="5">
        <f t="shared" si="0"/>
        <v>4000</v>
      </c>
      <c r="D6" s="5">
        <f t="shared" si="0"/>
        <v>459.99999999999926</v>
      </c>
      <c r="E6" s="5">
        <f t="shared" si="0"/>
        <v>4459.9999999999991</v>
      </c>
      <c r="F6" s="5">
        <f t="shared" si="0"/>
        <v>445.99999999999989</v>
      </c>
      <c r="G6" s="5">
        <f t="shared" si="0"/>
        <v>4905.9999999999991</v>
      </c>
    </row>
    <row r="8" spans="1:7">
      <c r="A8" s="6" t="s">
        <v>60</v>
      </c>
    </row>
    <row r="9" spans="1:7">
      <c r="A9" s="6" t="s">
        <v>61</v>
      </c>
    </row>
    <row r="10" spans="1:7">
      <c r="A10" s="6" t="s">
        <v>62</v>
      </c>
    </row>
    <row r="11" spans="1:7">
      <c r="A11" s="6" t="s">
        <v>63</v>
      </c>
    </row>
    <row r="12" spans="1:7">
      <c r="A12" s="6" t="s">
        <v>64</v>
      </c>
    </row>
  </sheetData>
  <phoneticPr fontId="7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B080-FE6F-4F62-8DE2-B53BB8936607}">
  <dimension ref="A1:E58"/>
  <sheetViews>
    <sheetView workbookViewId="0"/>
  </sheetViews>
  <sheetFormatPr defaultRowHeight="16.5"/>
  <cols>
    <col min="1" max="1" width="32.625" customWidth="1"/>
    <col min="2" max="4" width="13.625" customWidth="1"/>
    <col min="5" max="5" width="80.625" customWidth="1"/>
  </cols>
  <sheetData>
    <row r="1" spans="1:5" ht="20.25">
      <c r="A1" s="41" t="s">
        <v>76</v>
      </c>
    </row>
    <row r="2" spans="1:5">
      <c r="A2" t="s">
        <v>77</v>
      </c>
    </row>
    <row r="3" spans="1:5">
      <c r="A3" t="s">
        <v>78</v>
      </c>
    </row>
    <row r="5" spans="1:5">
      <c r="A5" s="40" t="s">
        <v>79</v>
      </c>
    </row>
    <row r="6" spans="1:5">
      <c r="A6" s="43" t="s">
        <v>15</v>
      </c>
      <c r="B6" s="43" t="s">
        <v>48</v>
      </c>
      <c r="C6" s="43" t="s">
        <v>50</v>
      </c>
      <c r="D6" s="43" t="s">
        <v>51</v>
      </c>
      <c r="E6" s="43" t="s">
        <v>80</v>
      </c>
    </row>
    <row r="7" spans="1:5">
      <c r="A7" t="s">
        <v>81</v>
      </c>
      <c r="B7" s="45">
        <f>'종합 요약 지급여부 0905'!B10</f>
        <v>46700</v>
      </c>
      <c r="C7" s="45">
        <f>'종합 요약 지급여부 0905'!L10</f>
        <v>32300</v>
      </c>
      <c r="D7" s="37">
        <f t="shared" ref="D7:D20" si="0">B7+C7</f>
        <v>79000</v>
      </c>
      <c r="E7" t="s">
        <v>82</v>
      </c>
    </row>
    <row r="8" spans="1:5">
      <c r="A8" t="s">
        <v>83</v>
      </c>
      <c r="B8" s="46">
        <v>0</v>
      </c>
      <c r="C8" s="45">
        <f>'종합 요약 지급여부 0905'!M10</f>
        <v>7700</v>
      </c>
      <c r="D8" s="37">
        <f t="shared" si="0"/>
        <v>7700</v>
      </c>
      <c r="E8" t="s">
        <v>84</v>
      </c>
    </row>
    <row r="9" spans="1:5">
      <c r="A9" t="s">
        <v>85</v>
      </c>
      <c r="B9" s="46">
        <v>0</v>
      </c>
      <c r="C9" s="45">
        <f>'종합 요약 지급여부 0905'!N10</f>
        <v>0</v>
      </c>
      <c r="D9" s="37">
        <f t="shared" si="0"/>
        <v>0</v>
      </c>
      <c r="E9" t="s">
        <v>86</v>
      </c>
    </row>
    <row r="10" spans="1:5">
      <c r="A10" s="44" t="s">
        <v>87</v>
      </c>
      <c r="B10" s="48">
        <f>SUM(B7:B9)</f>
        <v>46700</v>
      </c>
      <c r="C10" s="48">
        <f>SUM(C7:C9)</f>
        <v>40000</v>
      </c>
      <c r="D10" s="48">
        <f t="shared" si="0"/>
        <v>86700</v>
      </c>
      <c r="E10" s="44"/>
    </row>
    <row r="11" spans="1:5">
      <c r="A11" t="s">
        <v>7</v>
      </c>
      <c r="B11" s="45">
        <f>'종합 요약 지급여부 0905'!C10</f>
        <v>23100</v>
      </c>
      <c r="C11" s="45">
        <f>'종합 요약 지급여부 0905'!O10</f>
        <v>21900</v>
      </c>
      <c r="D11" s="37">
        <f t="shared" si="0"/>
        <v>45000</v>
      </c>
      <c r="E11" t="s">
        <v>88</v>
      </c>
    </row>
    <row r="12" spans="1:5">
      <c r="A12" t="s">
        <v>89</v>
      </c>
      <c r="B12" s="45">
        <f>'종합 요약 지급여부 0905'!D10</f>
        <v>400</v>
      </c>
      <c r="C12" s="45">
        <f>'종합 요약 지급여부 0905'!Q10</f>
        <v>200</v>
      </c>
      <c r="D12" s="37">
        <f t="shared" si="0"/>
        <v>600</v>
      </c>
    </row>
    <row r="13" spans="1:5">
      <c r="A13" t="s">
        <v>12</v>
      </c>
      <c r="B13" s="45">
        <f>'종합 요약 지급여부 0905'!E10</f>
        <v>3000</v>
      </c>
      <c r="C13" s="46">
        <v>0</v>
      </c>
      <c r="D13" s="37">
        <f t="shared" si="0"/>
        <v>3000</v>
      </c>
      <c r="E13" t="s">
        <v>90</v>
      </c>
    </row>
    <row r="14" spans="1:5">
      <c r="A14" s="44" t="s">
        <v>91</v>
      </c>
      <c r="B14" s="48">
        <f>SUM(B11:B13)</f>
        <v>26500</v>
      </c>
      <c r="C14" s="48">
        <f>SUM(C11:C13)</f>
        <v>22100</v>
      </c>
      <c r="D14" s="48">
        <f t="shared" si="0"/>
        <v>48600</v>
      </c>
      <c r="E14" s="44"/>
    </row>
    <row r="15" spans="1:5">
      <c r="A15" s="44" t="s">
        <v>92</v>
      </c>
      <c r="B15" s="48">
        <f>B10-B14</f>
        <v>20200</v>
      </c>
      <c r="C15" s="48">
        <f>C10-C14</f>
        <v>17900</v>
      </c>
      <c r="D15" s="48">
        <f t="shared" si="0"/>
        <v>38100</v>
      </c>
      <c r="E15" s="44" t="s">
        <v>121</v>
      </c>
    </row>
    <row r="16" spans="1:5">
      <c r="A16" t="s">
        <v>9</v>
      </c>
      <c r="B16" s="37">
        <f>MIN(MAX(B15,0),$B$32)*$B$33+MAX(B15-$B$32,0)*$B$34</f>
        <v>2040</v>
      </c>
      <c r="C16" s="37">
        <f>MIN(MAX(C15,0),$B$32)*$B$33+MAX(C15-$B$32,0)*$B$34</f>
        <v>1790</v>
      </c>
      <c r="D16" s="37">
        <f t="shared" si="0"/>
        <v>3830</v>
      </c>
      <c r="E16" t="s">
        <v>93</v>
      </c>
    </row>
    <row r="17" spans="1:5">
      <c r="A17" t="s">
        <v>94</v>
      </c>
      <c r="B17" s="37">
        <f>B16*$B$35</f>
        <v>204</v>
      </c>
      <c r="C17" s="37">
        <f>C16*$B$35</f>
        <v>179</v>
      </c>
      <c r="D17" s="37">
        <f t="shared" si="0"/>
        <v>383</v>
      </c>
      <c r="E17" t="s">
        <v>95</v>
      </c>
    </row>
    <row r="18" spans="1:5">
      <c r="A18" s="44" t="s">
        <v>96</v>
      </c>
      <c r="B18" s="48">
        <f>B16+B17</f>
        <v>2244</v>
      </c>
      <c r="C18" s="48">
        <f>C16+C17</f>
        <v>1969</v>
      </c>
      <c r="D18" s="48">
        <f t="shared" si="0"/>
        <v>4213</v>
      </c>
      <c r="E18" s="44"/>
    </row>
    <row r="19" spans="1:5">
      <c r="A19" t="s">
        <v>97</v>
      </c>
      <c r="B19" s="45">
        <f>'종합 요약 지급여부 0905'!F25</f>
        <v>244</v>
      </c>
      <c r="C19" s="46">
        <v>0</v>
      </c>
      <c r="D19" s="37">
        <f t="shared" si="0"/>
        <v>244</v>
      </c>
      <c r="E19" t="s">
        <v>98</v>
      </c>
    </row>
    <row r="20" spans="1:5">
      <c r="A20" s="44" t="s">
        <v>99</v>
      </c>
      <c r="B20" s="48">
        <f>B15-B18-B19</f>
        <v>17712</v>
      </c>
      <c r="C20" s="48">
        <f>C15-C18-C19</f>
        <v>15931</v>
      </c>
      <c r="D20" s="48">
        <f t="shared" si="0"/>
        <v>33643</v>
      </c>
      <c r="E20" s="44" t="s">
        <v>100</v>
      </c>
    </row>
    <row r="21" spans="1:5">
      <c r="A21" t="s">
        <v>101</v>
      </c>
      <c r="B21" s="47">
        <f>B20/10000</f>
        <v>1.7712000000000001</v>
      </c>
      <c r="C21" s="47">
        <f>C20/10000</f>
        <v>1.5931</v>
      </c>
      <c r="D21" s="47">
        <f>D20/10000</f>
        <v>3.3643000000000001</v>
      </c>
    </row>
    <row r="23" spans="1:5">
      <c r="A23" s="40" t="s">
        <v>102</v>
      </c>
    </row>
    <row r="24" spans="1:5">
      <c r="A24" t="s">
        <v>103</v>
      </c>
      <c r="B24" s="45">
        <f>'종합 요약 지급여부 0905'!C24</f>
        <v>0</v>
      </c>
    </row>
    <row r="25" spans="1:5">
      <c r="A25" t="s">
        <v>122</v>
      </c>
      <c r="B25" s="45">
        <f>('종합 요약 지급여부 0905'!C10+'종합 요약 지급여부 0905'!O10)-('종합 요약 지급여부 0905'!F22+'종합 요약 지급여부 0905'!F23)</f>
        <v>7200</v>
      </c>
      <c r="E25" t="s">
        <v>147</v>
      </c>
    </row>
    <row r="26" spans="1:5">
      <c r="A26" t="s">
        <v>104</v>
      </c>
      <c r="B26" s="37">
        <f>D17</f>
        <v>383</v>
      </c>
      <c r="E26" t="s">
        <v>105</v>
      </c>
    </row>
    <row r="27" spans="1:5">
      <c r="A27" s="44" t="s">
        <v>123</v>
      </c>
      <c r="B27" s="48">
        <f>B24-B25-B26</f>
        <v>-7583</v>
      </c>
      <c r="C27" s="44"/>
      <c r="D27" s="44"/>
      <c r="E27" s="44"/>
    </row>
    <row r="28" spans="1:5">
      <c r="A28" t="s">
        <v>106</v>
      </c>
      <c r="B28" s="37">
        <f>B27-D20</f>
        <v>-41226</v>
      </c>
      <c r="E28" t="s">
        <v>107</v>
      </c>
    </row>
    <row r="31" spans="1:5">
      <c r="A31" s="40" t="s">
        <v>108</v>
      </c>
    </row>
    <row r="32" spans="1:5">
      <c r="A32" t="s">
        <v>109</v>
      </c>
      <c r="B32" s="46">
        <v>20000</v>
      </c>
      <c r="E32" t="s">
        <v>110</v>
      </c>
    </row>
    <row r="33" spans="1:5">
      <c r="A33" t="s">
        <v>111</v>
      </c>
      <c r="B33" s="42">
        <v>0.1</v>
      </c>
      <c r="E33" t="s">
        <v>112</v>
      </c>
    </row>
    <row r="34" spans="1:5">
      <c r="A34" t="s">
        <v>113</v>
      </c>
      <c r="B34" s="42">
        <v>0.2</v>
      </c>
    </row>
    <row r="35" spans="1:5">
      <c r="A35" t="s">
        <v>114</v>
      </c>
      <c r="B35" s="42">
        <v>0.1</v>
      </c>
      <c r="E35" t="s">
        <v>115</v>
      </c>
    </row>
    <row r="37" spans="1:5">
      <c r="A37" s="40" t="s">
        <v>116</v>
      </c>
    </row>
    <row r="38" spans="1:5">
      <c r="A38" t="s">
        <v>117</v>
      </c>
    </row>
    <row r="39" spans="1:5">
      <c r="A39" t="s">
        <v>118</v>
      </c>
    </row>
    <row r="40" spans="1:5">
      <c r="A40" t="s">
        <v>124</v>
      </c>
    </row>
    <row r="41" spans="1:5">
      <c r="A41" t="s">
        <v>125</v>
      </c>
    </row>
    <row r="42" spans="1:5">
      <c r="A42" t="s">
        <v>119</v>
      </c>
    </row>
    <row r="43" spans="1:5">
      <c r="A43" t="s">
        <v>120</v>
      </c>
    </row>
    <row r="44" spans="1:5">
      <c r="A44" t="s">
        <v>148</v>
      </c>
    </row>
    <row r="46" spans="1:5">
      <c r="A46" s="40" t="s">
        <v>126</v>
      </c>
    </row>
    <row r="47" spans="1:5">
      <c r="A47" s="43" t="s">
        <v>15</v>
      </c>
      <c r="B47" s="43" t="s">
        <v>48</v>
      </c>
      <c r="C47" s="43" t="s">
        <v>50</v>
      </c>
      <c r="D47" s="43" t="s">
        <v>51</v>
      </c>
      <c r="E47" s="43" t="s">
        <v>80</v>
      </c>
    </row>
    <row r="48" spans="1:5">
      <c r="A48" t="s">
        <v>127</v>
      </c>
      <c r="B48" s="49">
        <v>0</v>
      </c>
      <c r="C48" s="49">
        <v>0</v>
      </c>
      <c r="D48" s="37">
        <f>B48+C48</f>
        <v>0</v>
      </c>
      <c r="E48" t="s">
        <v>128</v>
      </c>
    </row>
    <row r="49" spans="1:5">
      <c r="A49" s="44" t="s">
        <v>129</v>
      </c>
      <c r="B49" s="48">
        <f>B14+B48</f>
        <v>26500</v>
      </c>
      <c r="C49" s="48">
        <f>C14+C48</f>
        <v>22100</v>
      </c>
      <c r="D49" s="48">
        <f>B49+C49</f>
        <v>48600</v>
      </c>
      <c r="E49" s="44" t="s">
        <v>130</v>
      </c>
    </row>
    <row r="50" spans="1:5">
      <c r="A50" t="s">
        <v>131</v>
      </c>
      <c r="B50" s="37">
        <f>B10-B49</f>
        <v>20200</v>
      </c>
      <c r="C50" s="37">
        <f>C10-C49</f>
        <v>17900</v>
      </c>
      <c r="D50" s="37">
        <f>B50+C50</f>
        <v>38100</v>
      </c>
    </row>
    <row r="51" spans="1:5">
      <c r="A51" t="s">
        <v>132</v>
      </c>
      <c r="B51" s="37">
        <f>(MIN(MAX(B50,0),$B$32)*$B$33+MAX(B50-$B$32,0)*$B$34)*(1+$B$35)</f>
        <v>2244</v>
      </c>
      <c r="C51" s="37">
        <f>(MIN(MAX(C50,0),$B$32)*$B$33+MAX(C50-$B$32,0)*$B$34)*(1+$B$35)</f>
        <v>1969.0000000000002</v>
      </c>
      <c r="D51" s="37">
        <f>B51+C51</f>
        <v>4213</v>
      </c>
      <c r="E51" t="s">
        <v>133</v>
      </c>
    </row>
    <row r="52" spans="1:5">
      <c r="A52" s="44" t="s">
        <v>134</v>
      </c>
      <c r="B52" s="48">
        <f>B50-B51-B19</f>
        <v>17712</v>
      </c>
      <c r="C52" s="48">
        <f>C50-C51-C19</f>
        <v>15931</v>
      </c>
      <c r="D52" s="48">
        <f>B52+C52</f>
        <v>33643</v>
      </c>
      <c r="E52" s="44" t="s">
        <v>135</v>
      </c>
    </row>
    <row r="53" spans="1:5">
      <c r="A53" t="s">
        <v>136</v>
      </c>
      <c r="D53" s="50">
        <f>IF(D49+D52=0,0,D49/(D49+D52))</f>
        <v>0.59093175103048279</v>
      </c>
      <c r="E53" t="s">
        <v>137</v>
      </c>
    </row>
    <row r="54" spans="1:5">
      <c r="A54" t="s">
        <v>138</v>
      </c>
      <c r="D54" s="50">
        <f>IF(D49+D52=0,0,D52/(D49+D52))</f>
        <v>0.40906824896951716</v>
      </c>
    </row>
    <row r="55" spans="1:5">
      <c r="A55" t="s">
        <v>139</v>
      </c>
      <c r="D55" s="37">
        <f>D49-D52</f>
        <v>14957</v>
      </c>
      <c r="E55" t="s">
        <v>140</v>
      </c>
    </row>
    <row r="56" spans="1:5">
      <c r="A56" t="s">
        <v>141</v>
      </c>
      <c r="D56" s="37">
        <f>MAX($B$32-C50,0)</f>
        <v>2100</v>
      </c>
      <c r="E56" t="s">
        <v>142</v>
      </c>
    </row>
    <row r="57" spans="1:5">
      <c r="A57" s="44" t="s">
        <v>143</v>
      </c>
      <c r="B57" s="44"/>
      <c r="C57" s="44"/>
      <c r="D57" s="48">
        <f>IF(D55&lt;=0,0,IF(D55/(2-$B$33*(1+$B$35))&lt;=D56,D55/(2-$B$33*(1+$B$35)),(D55-($B$34-$B$33)*(1+$B$35)*D56)/(2-$B$34*(1+$B$35))))</f>
        <v>8273.0337078651683</v>
      </c>
      <c r="E57" s="44" t="s">
        <v>144</v>
      </c>
    </row>
    <row r="58" spans="1:5">
      <c r="A58" t="s">
        <v>145</v>
      </c>
      <c r="B58" s="46">
        <v>700</v>
      </c>
      <c r="D58" s="51">
        <f>IF(B58=0,0,D57/B58)</f>
        <v>11.818619582664526</v>
      </c>
      <c r="E58" t="s">
        <v>146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 요약 지급여부 0905</vt:lpstr>
      <vt:lpstr>인건비 상세</vt:lpstr>
      <vt:lpstr>법인세 계산</vt:lpstr>
      <vt:lpstr>정리(검토)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이강 Li, Gang</cp:lastModifiedBy>
  <cp:lastPrinted>2026-07-21T01:30:28Z</cp:lastPrinted>
  <dcterms:created xsi:type="dcterms:W3CDTF">2026-07-21T01:14:38Z</dcterms:created>
  <dcterms:modified xsi:type="dcterms:W3CDTF">2026-10-11T23:45:44Z</dcterms:modified>
</cp:coreProperties>
</file>